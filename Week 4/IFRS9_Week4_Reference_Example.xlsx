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mantiwari/Documents/Understanding of Banks/Credit_Risk_IFRS 9_Learning_Journey/Credit_Risk_IFRS9_Learning_Journey/Week 4/"/>
    </mc:Choice>
  </mc:AlternateContent>
  <xr:revisionPtr revIDLastSave="0" documentId="13_ncr:1_{AA222CCE-F171-D24A-87E0-24266ACE757B}" xr6:coauthVersionLast="47" xr6:coauthVersionMax="47" xr10:uidLastSave="{00000000-0000-0000-0000-000000000000}"/>
  <bookViews>
    <workbookView xWindow="0" yWindow="600" windowWidth="38400" windowHeight="19480" xr2:uid="{00000000-000D-0000-FFFF-FFFF00000000}"/>
  </bookViews>
  <sheets>
    <sheet name="Scorecard Example" sheetId="1" r:id="rId1"/>
    <sheet name="ECL Formula" sheetId="2" r:id="rId2"/>
    <sheet name="Week 4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11" i="2" s="1"/>
  <c r="B20" i="1"/>
  <c r="B21" i="1" s="1"/>
  <c r="C11" i="1"/>
  <c r="C13" i="1" s="1"/>
</calcChain>
</file>

<file path=xl/sharedStrings.xml><?xml version="1.0" encoding="utf-8"?>
<sst xmlns="http://schemas.openxmlformats.org/spreadsheetml/2006/main" count="92" uniqueCount="89">
  <si>
    <t>Illustrative scorecard based on the week 3 transcript</t>
  </si>
  <si>
    <t>Variable</t>
  </si>
  <si>
    <t>Category / input</t>
  </si>
  <si>
    <t>Score</t>
  </si>
  <si>
    <t>Why it matters</t>
  </si>
  <si>
    <t>Interpretation</t>
  </si>
  <si>
    <t>Status</t>
  </si>
  <si>
    <t>Overdraft account status</t>
  </si>
  <si>
    <t>No overdraft account</t>
  </si>
  <si>
    <t>Captures reliability</t>
  </si>
  <si>
    <t>Safer profile</t>
  </si>
  <si>
    <t>Positive</t>
  </si>
  <si>
    <t>Savings account balance</t>
  </si>
  <si>
    <t>0 to 10,000</t>
  </si>
  <si>
    <t>Captures affordability</t>
  </si>
  <si>
    <t>Lower savings</t>
  </si>
  <si>
    <t>Positive but limited</t>
  </si>
  <si>
    <t>Other credit</t>
  </si>
  <si>
    <t>No other credit</t>
  </si>
  <si>
    <t>Lower existing burden</t>
  </si>
  <si>
    <t>Less pressure on cash flow</t>
  </si>
  <si>
    <t>Strong</t>
  </si>
  <si>
    <t>Enquiries</t>
  </si>
  <si>
    <t>2 enquiries</t>
  </si>
  <si>
    <t>Limited credit shopping</t>
  </si>
  <si>
    <t>Moderate search activity</t>
  </si>
  <si>
    <t>Total score</t>
  </si>
  <si>
    <t>Cut-off score</t>
  </si>
  <si>
    <t>Decision</t>
  </si>
  <si>
    <t>SICR bridge example</t>
  </si>
  <si>
    <t>Item</t>
  </si>
  <si>
    <t>Value</t>
  </si>
  <si>
    <t>Formula / meaning</t>
  </si>
  <si>
    <t>Origination PD</t>
  </si>
  <si>
    <t>PD at booking time</t>
  </si>
  <si>
    <t>Baseline</t>
  </si>
  <si>
    <t>Behavior PD</t>
  </si>
  <si>
    <t>PD at current monitoring date</t>
  </si>
  <si>
    <t>Higher</t>
  </si>
  <si>
    <t>Relative deterioration</t>
  </si>
  <si>
    <t>Difference / origination PD</t>
  </si>
  <si>
    <t>SICR flag</t>
  </si>
  <si>
    <t>If deterioration is positive</t>
  </si>
  <si>
    <t>Yes</t>
  </si>
  <si>
    <t>IFRS 9 Week 3 | ECL Formula Example</t>
  </si>
  <si>
    <t>ECL = PD × LGD × EAD</t>
  </si>
  <si>
    <t>Component</t>
  </si>
  <si>
    <t>Meaning</t>
  </si>
  <si>
    <t>Formula</t>
  </si>
  <si>
    <t>Note</t>
  </si>
  <si>
    <t>PD</t>
  </si>
  <si>
    <t>Probability of default</t>
  </si>
  <si>
    <t>18%</t>
  </si>
  <si>
    <t>Lifetime chance of default</t>
  </si>
  <si>
    <t>LGD</t>
  </si>
  <si>
    <t>Loss given default</t>
  </si>
  <si>
    <t>35%</t>
  </si>
  <si>
    <t>Loss after recoveries</t>
  </si>
  <si>
    <t>EAD</t>
  </si>
  <si>
    <t>Exposure at default</t>
  </si>
  <si>
    <t>50,000,000</t>
  </si>
  <si>
    <t>Outstanding exposure at default</t>
  </si>
  <si>
    <t>Expected credit loss</t>
  </si>
  <si>
    <t>PD × LGD × EAD</t>
  </si>
  <si>
    <t>Result</t>
  </si>
  <si>
    <t>Illustrative gross ECL</t>
  </si>
  <si>
    <t>Simple note: exposure can include outstanding principal, interest, and fees; revolving products can require extra treatment.</t>
  </si>
  <si>
    <t>Topic</t>
  </si>
  <si>
    <t>Core idea</t>
  </si>
  <si>
    <t>Banking meaning</t>
  </si>
  <si>
    <t>Key point</t>
  </si>
  <si>
    <t>Staging</t>
  </si>
  <si>
    <t>Accounts move from Stage 1 to 2 to 3</t>
  </si>
  <si>
    <t>Chooses the ECL horizon</t>
  </si>
  <si>
    <t>Stage 1 = 12-month ECL</t>
  </si>
  <si>
    <t>SICR</t>
  </si>
  <si>
    <t>Risk has increased significantly</t>
  </si>
  <si>
    <t>Bridge into Stage 2</t>
  </si>
  <si>
    <t>Compare origination and current risk</t>
  </si>
  <si>
    <t>Month on books</t>
  </si>
  <si>
    <t>Early months can resemble origination</t>
  </si>
  <si>
    <t>Aligns the two PD views</t>
  </si>
  <si>
    <t>Used as a bridge</t>
  </si>
  <si>
    <t>PIT vs TTC</t>
  </si>
  <si>
    <t>IFRS 9 uses PIT; Basel uses TTC</t>
  </si>
  <si>
    <t>Different framework objectives</t>
  </si>
  <si>
    <t>Provisioning vs capital</t>
  </si>
  <si>
    <t>IFRS 9 Week 4 | Acquisition Scorecard Example</t>
  </si>
  <si>
    <t>IFRS 9 Week 4 |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</si>
</sst>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EF3F8"/>
      </patternFill>
    </fill>
    <fill>
      <patternFill patternType="solid">
        <fgColor rgb="FFEAF4EA"/>
      </patternFill>
    </fill>
    <fill>
      <patternFill patternType="solid">
        <fgColor rgb="FFFFF6E8"/>
      </patternFill>
    </fill>
    <fill>
      <patternFill patternType="solid">
        <fgColor rgb="FFF3ECF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2" fillId="4" borderId="1" xfId="0" applyFont="1" applyFill="1" applyBorder="1"/>
    <xf numFmtId="4" fontId="2" fillId="4" borderId="1" xfId="0" applyNumberFormat="1" applyFont="1" applyFill="1" applyBorder="1"/>
    <xf numFmtId="0" fontId="0" fillId="4" borderId="1" xfId="0" applyFill="1" applyBorder="1"/>
    <xf numFmtId="0" fontId="2" fillId="5" borderId="1" xfId="0" applyFont="1" applyFill="1" applyBorder="1"/>
    <xf numFmtId="4" fontId="2" fillId="5" borderId="1" xfId="0" applyNumberFormat="1" applyFont="1" applyFill="1" applyBorder="1"/>
    <xf numFmtId="0" fontId="0" fillId="5" borderId="1" xfId="0" applyFill="1" applyBorder="1"/>
    <xf numFmtId="0" fontId="2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 applyAlignment="1">
      <alignment wrapText="1"/>
    </xf>
    <xf numFmtId="9" fontId="2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200" workbookViewId="0">
      <selection activeCell="A12" sqref="A12"/>
    </sheetView>
  </sheetViews>
  <sheetFormatPr baseColWidth="10" defaultColWidth="8.83203125" defaultRowHeight="15" x14ac:dyDescent="0.2"/>
  <cols>
    <col min="1" max="1" width="26" customWidth="1"/>
    <col min="2" max="2" width="24" customWidth="1"/>
    <col min="3" max="3" width="12" customWidth="1"/>
    <col min="4" max="4" width="28" customWidth="1"/>
    <col min="5" max="5" width="22" customWidth="1"/>
    <col min="6" max="6" width="15" customWidth="1"/>
  </cols>
  <sheetData>
    <row r="1" spans="1:6" ht="24" customHeight="1" x14ac:dyDescent="0.25">
      <c r="A1" s="19" t="s">
        <v>87</v>
      </c>
      <c r="B1" s="18"/>
      <c r="C1" s="18"/>
      <c r="D1" s="18"/>
      <c r="E1" s="18"/>
      <c r="F1" s="18"/>
    </row>
    <row r="3" spans="1:6" x14ac:dyDescent="0.2">
      <c r="A3" s="17" t="s">
        <v>0</v>
      </c>
      <c r="B3" s="18"/>
      <c r="C3" s="18"/>
      <c r="D3" s="18"/>
      <c r="E3" s="18"/>
      <c r="F3" s="18"/>
    </row>
    <row r="5" spans="1:6" ht="22" customHeight="1" x14ac:dyDescent="0.2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ht="16" x14ac:dyDescent="0.2">
      <c r="A6" s="2" t="s">
        <v>7</v>
      </c>
      <c r="B6" s="2" t="s">
        <v>8</v>
      </c>
      <c r="C6" s="3">
        <v>28</v>
      </c>
      <c r="D6" s="2" t="s">
        <v>9</v>
      </c>
      <c r="E6" s="2" t="s">
        <v>10</v>
      </c>
      <c r="F6" s="2" t="s">
        <v>11</v>
      </c>
    </row>
    <row r="7" spans="1:6" ht="32" x14ac:dyDescent="0.2">
      <c r="A7" s="2" t="s">
        <v>12</v>
      </c>
      <c r="B7" s="2" t="s">
        <v>13</v>
      </c>
      <c r="C7" s="3">
        <v>21</v>
      </c>
      <c r="D7" s="2" t="s">
        <v>14</v>
      </c>
      <c r="E7" s="2" t="s">
        <v>15</v>
      </c>
      <c r="F7" s="2" t="s">
        <v>16</v>
      </c>
    </row>
    <row r="8" spans="1:6" ht="16" x14ac:dyDescent="0.2">
      <c r="A8" s="2" t="s">
        <v>17</v>
      </c>
      <c r="B8" s="2" t="s">
        <v>18</v>
      </c>
      <c r="C8" s="3">
        <v>45</v>
      </c>
      <c r="D8" s="2" t="s">
        <v>19</v>
      </c>
      <c r="E8" s="2" t="s">
        <v>20</v>
      </c>
      <c r="F8" s="2" t="s">
        <v>21</v>
      </c>
    </row>
    <row r="9" spans="1:6" ht="16" x14ac:dyDescent="0.2">
      <c r="A9" s="2" t="s">
        <v>22</v>
      </c>
      <c r="B9" s="2" t="s">
        <v>23</v>
      </c>
      <c r="C9" s="3">
        <v>28</v>
      </c>
      <c r="D9" s="2" t="s">
        <v>24</v>
      </c>
      <c r="E9" s="2" t="s">
        <v>25</v>
      </c>
      <c r="F9" s="2" t="s">
        <v>11</v>
      </c>
    </row>
    <row r="11" spans="1:6" x14ac:dyDescent="0.2">
      <c r="A11" s="4" t="s">
        <v>26</v>
      </c>
      <c r="C11" s="5">
        <f>SUM(C6:C9)</f>
        <v>122</v>
      </c>
    </row>
    <row r="12" spans="1:6" x14ac:dyDescent="0.2">
      <c r="A12" s="4" t="s">
        <v>27</v>
      </c>
      <c r="C12" s="6">
        <v>107</v>
      </c>
    </row>
    <row r="13" spans="1:6" x14ac:dyDescent="0.2">
      <c r="A13" s="4" t="s">
        <v>28</v>
      </c>
      <c r="C13" s="5" t="str">
        <f>IF(C11&gt;=C12,"Accepted","Declined")</f>
        <v>Accepted</v>
      </c>
    </row>
    <row r="15" spans="1:6" ht="16" x14ac:dyDescent="0.2">
      <c r="A15" s="20" t="s">
        <v>29</v>
      </c>
      <c r="B15" s="18"/>
      <c r="C15" s="18"/>
      <c r="D15" s="18"/>
      <c r="E15" s="18"/>
      <c r="F15" s="18"/>
    </row>
    <row r="17" spans="1:4" ht="22" customHeight="1" x14ac:dyDescent="0.2">
      <c r="A17" s="1" t="s">
        <v>30</v>
      </c>
      <c r="B17" s="1" t="s">
        <v>31</v>
      </c>
      <c r="C17" s="1" t="s">
        <v>32</v>
      </c>
      <c r="D17" s="1" t="s">
        <v>6</v>
      </c>
    </row>
    <row r="18" spans="1:4" ht="32" x14ac:dyDescent="0.2">
      <c r="A18" s="2" t="s">
        <v>33</v>
      </c>
      <c r="B18" s="7">
        <v>0.02</v>
      </c>
      <c r="C18" s="2" t="s">
        <v>34</v>
      </c>
      <c r="D18" s="5" t="s">
        <v>35</v>
      </c>
    </row>
    <row r="19" spans="1:4" ht="48" x14ac:dyDescent="0.2">
      <c r="A19" s="2" t="s">
        <v>36</v>
      </c>
      <c r="B19" s="7">
        <v>0.03</v>
      </c>
      <c r="C19" s="2" t="s">
        <v>37</v>
      </c>
      <c r="D19" s="6" t="s">
        <v>38</v>
      </c>
    </row>
    <row r="20" spans="1:4" ht="48" x14ac:dyDescent="0.2">
      <c r="A20" s="2" t="s">
        <v>39</v>
      </c>
      <c r="B20" s="7">
        <f>(B19-B18)/B18</f>
        <v>0.49999999999999989</v>
      </c>
      <c r="C20" s="2" t="s">
        <v>40</v>
      </c>
      <c r="D20" s="22">
        <v>0.5</v>
      </c>
    </row>
    <row r="21" spans="1:4" ht="48" x14ac:dyDescent="0.2">
      <c r="A21" s="2" t="s">
        <v>41</v>
      </c>
      <c r="B21" s="8" t="str">
        <f>IF(B20&gt;0,"Yes","No")</f>
        <v>Yes</v>
      </c>
      <c r="C21" s="2" t="s">
        <v>42</v>
      </c>
      <c r="D21" s="5" t="s">
        <v>43</v>
      </c>
    </row>
  </sheetData>
  <mergeCells count="3">
    <mergeCell ref="A3:F3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71" workbookViewId="0">
      <selection activeCell="D8" sqref="D8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26" customWidth="1"/>
    <col min="4" max="4" width="18" customWidth="1"/>
    <col min="5" max="5" width="36" customWidth="1"/>
  </cols>
  <sheetData>
    <row r="1" spans="1:5" ht="24" customHeight="1" x14ac:dyDescent="0.25">
      <c r="A1" s="19" t="s">
        <v>44</v>
      </c>
      <c r="B1" s="18"/>
      <c r="C1" s="18"/>
      <c r="D1" s="18"/>
      <c r="E1" s="18"/>
    </row>
    <row r="3" spans="1:5" ht="16" x14ac:dyDescent="0.2">
      <c r="A3" s="20" t="s">
        <v>45</v>
      </c>
      <c r="B3" s="18"/>
      <c r="C3" s="18"/>
      <c r="D3" s="18"/>
      <c r="E3" s="18"/>
    </row>
    <row r="5" spans="1:5" ht="22" customHeight="1" x14ac:dyDescent="0.2">
      <c r="A5" s="1" t="s">
        <v>46</v>
      </c>
      <c r="B5" s="1" t="s">
        <v>31</v>
      </c>
      <c r="C5" s="1" t="s">
        <v>47</v>
      </c>
      <c r="D5" s="1" t="s">
        <v>48</v>
      </c>
      <c r="E5" s="1" t="s">
        <v>49</v>
      </c>
    </row>
    <row r="6" spans="1:5" ht="16" x14ac:dyDescent="0.2">
      <c r="A6" s="2" t="s">
        <v>50</v>
      </c>
      <c r="B6" s="9">
        <v>0.18</v>
      </c>
      <c r="C6" s="2" t="s">
        <v>51</v>
      </c>
      <c r="D6" s="2" t="s">
        <v>52</v>
      </c>
      <c r="E6" s="2" t="s">
        <v>53</v>
      </c>
    </row>
    <row r="7" spans="1:5" ht="16" x14ac:dyDescent="0.2">
      <c r="A7" s="2" t="s">
        <v>54</v>
      </c>
      <c r="B7" s="9">
        <v>0.35</v>
      </c>
      <c r="C7" s="2" t="s">
        <v>55</v>
      </c>
      <c r="D7" s="2" t="s">
        <v>56</v>
      </c>
      <c r="E7" s="2" t="s">
        <v>57</v>
      </c>
    </row>
    <row r="8" spans="1:5" ht="16" x14ac:dyDescent="0.2">
      <c r="A8" s="2" t="s">
        <v>58</v>
      </c>
      <c r="B8" s="10">
        <v>50000000</v>
      </c>
      <c r="C8" s="2" t="s">
        <v>59</v>
      </c>
      <c r="D8" s="2" t="s">
        <v>60</v>
      </c>
      <c r="E8" s="2" t="s">
        <v>61</v>
      </c>
    </row>
    <row r="10" spans="1:5" x14ac:dyDescent="0.2">
      <c r="A10" s="11" t="s">
        <v>62</v>
      </c>
      <c r="B10" s="12">
        <f>B6*B7*B8</f>
        <v>3150000</v>
      </c>
      <c r="C10" s="13" t="s">
        <v>63</v>
      </c>
    </row>
    <row r="11" spans="1:5" x14ac:dyDescent="0.2">
      <c r="A11" s="14" t="s">
        <v>64</v>
      </c>
      <c r="B11" s="15">
        <f>B10</f>
        <v>3150000</v>
      </c>
      <c r="C11" s="16" t="s">
        <v>65</v>
      </c>
    </row>
    <row r="13" spans="1:5" x14ac:dyDescent="0.2">
      <c r="A13" s="21" t="s">
        <v>66</v>
      </c>
      <c r="B13" s="18"/>
      <c r="C13" s="18"/>
      <c r="D13" s="18"/>
      <c r="E13" s="18"/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="150" workbookViewId="0">
      <selection activeCell="B30" sqref="B30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26" customWidth="1"/>
    <col min="4" max="4" width="24" customWidth="1"/>
  </cols>
  <sheetData>
    <row r="1" spans="1:4" ht="19" x14ac:dyDescent="0.25">
      <c r="A1" s="19" t="s">
        <v>88</v>
      </c>
      <c r="B1" s="18"/>
      <c r="C1" s="18"/>
      <c r="D1" s="18"/>
    </row>
    <row r="3" spans="1:4" ht="16" x14ac:dyDescent="0.2">
      <c r="A3" s="1" t="s">
        <v>67</v>
      </c>
      <c r="B3" s="1" t="s">
        <v>68</v>
      </c>
      <c r="C3" s="1" t="s">
        <v>69</v>
      </c>
      <c r="D3" s="1" t="s">
        <v>70</v>
      </c>
    </row>
    <row r="4" spans="1:4" ht="32" x14ac:dyDescent="0.2">
      <c r="A4" s="2" t="s">
        <v>71</v>
      </c>
      <c r="B4" s="2" t="s">
        <v>72</v>
      </c>
      <c r="C4" s="2" t="s">
        <v>73</v>
      </c>
      <c r="D4" s="2" t="s">
        <v>74</v>
      </c>
    </row>
    <row r="5" spans="1:4" ht="32" x14ac:dyDescent="0.2">
      <c r="A5" s="2" t="s">
        <v>75</v>
      </c>
      <c r="B5" s="2" t="s">
        <v>76</v>
      </c>
      <c r="C5" s="2" t="s">
        <v>77</v>
      </c>
      <c r="D5" s="2" t="s">
        <v>78</v>
      </c>
    </row>
    <row r="6" spans="1:4" ht="32" x14ac:dyDescent="0.2">
      <c r="A6" s="2" t="s">
        <v>79</v>
      </c>
      <c r="B6" s="2" t="s">
        <v>80</v>
      </c>
      <c r="C6" s="2" t="s">
        <v>81</v>
      </c>
      <c r="D6" s="2" t="s">
        <v>82</v>
      </c>
    </row>
    <row r="7" spans="1:4" ht="16" x14ac:dyDescent="0.2">
      <c r="A7" s="2" t="s">
        <v>83</v>
      </c>
      <c r="B7" s="2" t="s">
        <v>84</v>
      </c>
      <c r="C7" s="2" t="s">
        <v>85</v>
      </c>
      <c r="D7" s="2" t="s">
        <v>86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Scorecard Example</vt:lpstr>
      <vt:lpstr>ECL Formula</vt:lpstr>
      <vt:lpstr>Week 4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Tiwari</cp:lastModifiedBy>
  <dcterms:created xsi:type="dcterms:W3CDTF">2026-04-24T05:17:43Z</dcterms:created>
  <dcterms:modified xsi:type="dcterms:W3CDTF">2026-04-24T07:50:01Z</dcterms:modified>
</cp:coreProperties>
</file>