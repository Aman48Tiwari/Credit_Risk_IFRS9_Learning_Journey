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mantiwari/Downloads/"/>
    </mc:Choice>
  </mc:AlternateContent>
  <xr:revisionPtr revIDLastSave="0" documentId="13_ncr:1_{7BC63FEB-4E3E-094F-BE4E-F3B1533F03AE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Inputs" sheetId="1" r:id="rId1"/>
    <sheet name="Amortiza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E13" i="2"/>
  <c r="C13" i="2"/>
  <c r="B9" i="2"/>
  <c r="B6" i="2"/>
  <c r="B5" i="2"/>
  <c r="B4" i="2"/>
  <c r="B3" i="2"/>
  <c r="B11" i="1"/>
  <c r="B10" i="1"/>
  <c r="B7" i="2" s="1"/>
  <c r="G13" i="2" l="1"/>
  <c r="B12" i="1"/>
  <c r="D22" i="2" l="1"/>
  <c r="F22" i="2" s="1"/>
  <c r="D17" i="2"/>
  <c r="F17" i="2" s="1"/>
  <c r="B13" i="1"/>
  <c r="D23" i="2"/>
  <c r="F23" i="2" s="1"/>
  <c r="D18" i="2"/>
  <c r="F18" i="2" s="1"/>
  <c r="D13" i="2"/>
  <c r="D21" i="2"/>
  <c r="F21" i="2" s="1"/>
  <c r="D16" i="2"/>
  <c r="F16" i="2" s="1"/>
  <c r="D24" i="2"/>
  <c r="F24" i="2" s="1"/>
  <c r="D19" i="2"/>
  <c r="F19" i="2" s="1"/>
  <c r="D14" i="2"/>
  <c r="F14" i="2" s="1"/>
  <c r="B8" i="2"/>
  <c r="D20" i="2"/>
  <c r="F20" i="2" s="1"/>
  <c r="D15" i="2"/>
  <c r="F15" i="2" s="1"/>
  <c r="F13" i="2" l="1"/>
  <c r="H13" i="2" s="1"/>
  <c r="I13" i="2" s="1"/>
  <c r="C14" i="2" s="1"/>
  <c r="B28" i="2"/>
  <c r="G14" i="2" l="1"/>
  <c r="H14" i="2" l="1"/>
  <c r="I14" i="2" s="1"/>
  <c r="C15" i="2" s="1"/>
  <c r="G15" i="2" l="1"/>
  <c r="H15" i="2" l="1"/>
  <c r="I15" i="2" s="1"/>
  <c r="C16" i="2" s="1"/>
  <c r="G16" i="2" l="1"/>
  <c r="H16" i="2" l="1"/>
  <c r="I16" i="2" s="1"/>
  <c r="C17" i="2" s="1"/>
  <c r="G17" i="2" l="1"/>
  <c r="H17" i="2" s="1"/>
  <c r="I17" i="2" s="1"/>
  <c r="C18" i="2" s="1"/>
  <c r="G18" i="2" l="1"/>
  <c r="H18" i="2" s="1"/>
  <c r="I18" i="2" s="1"/>
  <c r="C19" i="2" s="1"/>
  <c r="G19" i="2" l="1"/>
  <c r="H19" i="2" s="1"/>
  <c r="I19" i="2" s="1"/>
  <c r="C20" i="2" s="1"/>
  <c r="G20" i="2" l="1"/>
  <c r="H20" i="2" s="1"/>
  <c r="I20" i="2"/>
  <c r="C21" i="2" s="1"/>
  <c r="G21" i="2" l="1"/>
  <c r="H21" i="2" s="1"/>
  <c r="I21" i="2"/>
  <c r="C22" i="2" s="1"/>
  <c r="G22" i="2" l="1"/>
  <c r="H22" i="2" s="1"/>
  <c r="I22" i="2" s="1"/>
  <c r="C23" i="2" s="1"/>
  <c r="G23" i="2" l="1"/>
  <c r="H23" i="2" s="1"/>
  <c r="I23" i="2" s="1"/>
  <c r="C24" i="2" s="1"/>
  <c r="G24" i="2" l="1"/>
  <c r="H24" i="2" l="1"/>
  <c r="I24" i="2" s="1"/>
  <c r="B30" i="2"/>
  <c r="B32" i="2" l="1"/>
  <c r="B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2" authorId="0" shapeId="0" xr:uid="{00000000-0006-0000-0000-000007000000}">
      <text>
        <r>
          <rPr>
            <sz val="11"/>
            <color rgb="FF000000"/>
            <rFont val="Calibri"/>
            <family val="2"/>
          </rPr>
          <t>Calculated using the standard amortization formula so the schedule can be audited and reused.</t>
        </r>
      </text>
    </comment>
  </commentList>
</comments>
</file>

<file path=xl/sharedStrings.xml><?xml version="1.0" encoding="utf-8"?>
<sst xmlns="http://schemas.openxmlformats.org/spreadsheetml/2006/main" count="39" uniqueCount="35">
  <si>
    <t>Source</t>
  </si>
  <si>
    <t>Loan amount</t>
  </si>
  <si>
    <t>Annual interest rate</t>
  </si>
  <si>
    <t>Term (years)</t>
  </si>
  <si>
    <t>Payments per year</t>
  </si>
  <si>
    <t>Start date</t>
  </si>
  <si>
    <t>Extra payment in Month 1</t>
  </si>
  <si>
    <t>Monthly rate</t>
  </si>
  <si>
    <t>Total number of periods</t>
  </si>
  <si>
    <t>Scheduled payment (EMI)</t>
  </si>
  <si>
    <t>Approx. total scheduled payments</t>
  </si>
  <si>
    <t>Amortization Schedule</t>
  </si>
  <si>
    <t>Annual rate</t>
  </si>
  <si>
    <t>Payments/year</t>
  </si>
  <si>
    <t>Scheduled EMI</t>
  </si>
  <si>
    <t>Extra payment (Month 1)</t>
  </si>
  <si>
    <t>Period</t>
  </si>
  <si>
    <t>Payment Date</t>
  </si>
  <si>
    <t>Beginning Balance</t>
  </si>
  <si>
    <t>Extra Payment</t>
  </si>
  <si>
    <t>Total Payment</t>
  </si>
  <si>
    <t>Interest</t>
  </si>
  <si>
    <t>Principal</t>
  </si>
  <si>
    <t>Ending Balance</t>
  </si>
  <si>
    <t>Summary</t>
  </si>
  <si>
    <t>Total scheduled payments</t>
  </si>
  <si>
    <t>Total extra payments</t>
  </si>
  <si>
    <t>Total interest paid</t>
  </si>
  <si>
    <t>Ending balance after 12 months</t>
  </si>
  <si>
    <t>Balloon / payoff amount needed to close the loan</t>
  </si>
  <si>
    <t>Interpretation</t>
  </si>
  <si>
    <t>If the ending balance is negative, the extra payment has overpaid the loan. In real banking, the final installment would usually be capped at the exact payoff amount.</t>
  </si>
  <si>
    <t>Learning note:
• Blue cells = user inputs.
• Black cells = formulas.
• The workbook uses a standard amortization formula.
• Change the yellow input cells to build your own scenarios.</t>
  </si>
  <si>
    <t>User-provide</t>
  </si>
  <si>
    <t xml:space="preserve">IFRS 9 Amortization Template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</si>
</sst>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[Red]\(\$#,##0.00\);\-"/>
    <numFmt numFmtId="165" formatCode="0.0%"/>
    <numFmt numFmtId="166" formatCode="#,##0;[Red]\(#,##0\);\-"/>
    <numFmt numFmtId="167" formatCode="dd\-mmm\-yyyy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i/>
      <sz val="11"/>
      <color rgb="FF666666"/>
      <name val="Calibri"/>
      <family val="2"/>
    </font>
    <font>
      <sz val="11"/>
      <color rgb="FF008000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59D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164" fontId="4" fillId="5" borderId="0" xfId="0" applyNumberFormat="1" applyFont="1" applyFill="1" applyAlignment="1">
      <alignment vertical="center" wrapText="1"/>
    </xf>
    <xf numFmtId="165" fontId="4" fillId="5" borderId="0" xfId="0" applyNumberFormat="1" applyFont="1" applyFill="1" applyAlignment="1">
      <alignment vertical="center" wrapText="1"/>
    </xf>
    <xf numFmtId="166" fontId="4" fillId="5" borderId="0" xfId="0" applyNumberFormat="1" applyFont="1" applyFill="1" applyAlignment="1">
      <alignment vertical="center" wrapText="1"/>
    </xf>
    <xf numFmtId="167" fontId="4" fillId="5" borderId="0" xfId="0" applyNumberFormat="1" applyFont="1" applyFill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4" fontId="6" fillId="3" borderId="0" xfId="0" applyNumberFormat="1" applyFont="1" applyFill="1" applyAlignment="1">
      <alignment vertical="center" wrapText="1"/>
    </xf>
    <xf numFmtId="165" fontId="6" fillId="3" borderId="0" xfId="0" applyNumberFormat="1" applyFont="1" applyFill="1" applyAlignment="1">
      <alignment vertical="center" wrapText="1"/>
    </xf>
    <xf numFmtId="166" fontId="6" fillId="3" borderId="0" xfId="0" applyNumberFormat="1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167" fontId="6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64" fontId="3" fillId="6" borderId="0" xfId="0" applyNumberFormat="1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 applyAlignment="1">
      <alignment horizontal="center"/>
    </xf>
    <xf numFmtId="0" fontId="5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65bce47d9aac42e9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558800</xdr:colOff>
      <xdr:row>65</xdr:row>
      <xdr:rowOff>38100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D7317CDD-6BA2-1625-DA30-4BDD23D769C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558800</xdr:colOff>
      <xdr:row>65</xdr:row>
      <xdr:rowOff>38100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6E12BD5C-668A-3811-8B0E-EEE2F5AF8A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0894574E-0A37-99CA-9D8F-D3356BBBF227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zoomScale="187" zoomScaleNormal="187" workbookViewId="0">
      <selection activeCell="B12" sqref="B12"/>
    </sheetView>
  </sheetViews>
  <sheetFormatPr baseColWidth="10" defaultColWidth="8.83203125" defaultRowHeight="15" x14ac:dyDescent="0.2"/>
  <cols>
    <col min="1" max="1" width="30" customWidth="1"/>
    <col min="2" max="2" width="24" customWidth="1"/>
    <col min="3" max="3" width="4" customWidth="1"/>
    <col min="4" max="4" width="30" customWidth="1"/>
    <col min="5" max="6" width="18" customWidth="1"/>
  </cols>
  <sheetData>
    <row r="1" spans="1:6" ht="24" customHeight="1" x14ac:dyDescent="0.2">
      <c r="A1" s="19" t="s">
        <v>34</v>
      </c>
      <c r="B1" s="20"/>
      <c r="C1" s="20"/>
      <c r="D1" s="20"/>
      <c r="E1" s="20"/>
      <c r="F1" s="20"/>
    </row>
    <row r="3" spans="1:6" ht="18" customHeight="1" x14ac:dyDescent="0.2">
      <c r="A3" s="1" t="s">
        <v>0</v>
      </c>
      <c r="B3" s="18" t="s">
        <v>33</v>
      </c>
      <c r="D3" s="21" t="s">
        <v>32</v>
      </c>
      <c r="E3" s="22"/>
      <c r="F3" s="23"/>
    </row>
    <row r="4" spans="1:6" ht="16" x14ac:dyDescent="0.2">
      <c r="A4" s="2" t="s">
        <v>1</v>
      </c>
      <c r="B4" s="3">
        <v>5000</v>
      </c>
      <c r="D4" s="24"/>
      <c r="E4" s="20"/>
      <c r="F4" s="25"/>
    </row>
    <row r="5" spans="1:6" ht="16" x14ac:dyDescent="0.2">
      <c r="A5" s="2" t="s">
        <v>2</v>
      </c>
      <c r="B5" s="4">
        <v>0.04</v>
      </c>
      <c r="D5" s="24"/>
      <c r="E5" s="20"/>
      <c r="F5" s="25"/>
    </row>
    <row r="6" spans="1:6" ht="16" x14ac:dyDescent="0.2">
      <c r="A6" s="2" t="s">
        <v>3</v>
      </c>
      <c r="B6" s="5">
        <v>1</v>
      </c>
      <c r="D6" s="24"/>
      <c r="E6" s="20"/>
      <c r="F6" s="25"/>
    </row>
    <row r="7" spans="1:6" ht="16" x14ac:dyDescent="0.2">
      <c r="A7" s="2" t="s">
        <v>4</v>
      </c>
      <c r="B7" s="5">
        <v>12</v>
      </c>
      <c r="D7" s="24"/>
      <c r="E7" s="20"/>
      <c r="F7" s="25"/>
    </row>
    <row r="8" spans="1:6" ht="16" x14ac:dyDescent="0.2">
      <c r="A8" s="2" t="s">
        <v>5</v>
      </c>
      <c r="B8" s="6">
        <v>43436</v>
      </c>
      <c r="D8" s="24"/>
      <c r="E8" s="20"/>
      <c r="F8" s="25"/>
    </row>
    <row r="9" spans="1:6" ht="16" x14ac:dyDescent="0.2">
      <c r="A9" s="2" t="s">
        <v>6</v>
      </c>
      <c r="B9" s="3">
        <v>100</v>
      </c>
      <c r="D9" s="24"/>
      <c r="E9" s="20"/>
      <c r="F9" s="25"/>
    </row>
    <row r="10" spans="1:6" ht="16" x14ac:dyDescent="0.2">
      <c r="A10" s="2" t="s">
        <v>7</v>
      </c>
      <c r="B10" s="7">
        <f>B5/B7</f>
        <v>3.3333333333333335E-3</v>
      </c>
      <c r="D10" s="24"/>
      <c r="E10" s="20"/>
      <c r="F10" s="25"/>
    </row>
    <row r="11" spans="1:6" ht="16" x14ac:dyDescent="0.2">
      <c r="A11" s="2" t="s">
        <v>8</v>
      </c>
      <c r="B11" s="8">
        <f>B6*B7</f>
        <v>12</v>
      </c>
      <c r="D11" s="24"/>
      <c r="E11" s="20"/>
      <c r="F11" s="25"/>
    </row>
    <row r="12" spans="1:6" ht="16" x14ac:dyDescent="0.2">
      <c r="A12" s="2" t="s">
        <v>9</v>
      </c>
      <c r="B12" s="9">
        <f>ROUND(B4*B10*(1+B10)^B11/((1+B10)^B11-1),2)</f>
        <v>425.75</v>
      </c>
      <c r="D12" s="24"/>
      <c r="E12" s="20"/>
      <c r="F12" s="25"/>
    </row>
    <row r="13" spans="1:6" ht="16" x14ac:dyDescent="0.2">
      <c r="A13" s="2" t="s">
        <v>10</v>
      </c>
      <c r="B13" s="9">
        <f>ROUND(B12*B11,2)</f>
        <v>5109</v>
      </c>
      <c r="D13" s="26"/>
      <c r="E13" s="27"/>
      <c r="F13" s="28"/>
    </row>
  </sheetData>
  <mergeCells count="2">
    <mergeCell ref="A1:F1"/>
    <mergeCell ref="D3:F1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showGridLines="0" tabSelected="1" topLeftCell="A24" zoomScale="196" zoomScaleNormal="196" workbookViewId="0">
      <selection activeCell="B30" sqref="B30"/>
    </sheetView>
  </sheetViews>
  <sheetFormatPr baseColWidth="10" defaultColWidth="8.83203125" defaultRowHeight="15" x14ac:dyDescent="0.2"/>
  <cols>
    <col min="1" max="1" width="26" customWidth="1"/>
    <col min="2" max="2" width="14" customWidth="1"/>
    <col min="3" max="3" width="18" customWidth="1"/>
    <col min="4" max="4" width="15" customWidth="1"/>
    <col min="5" max="6" width="14" customWidth="1"/>
    <col min="7" max="8" width="12" customWidth="1"/>
    <col min="9" max="9" width="14" customWidth="1"/>
  </cols>
  <sheetData>
    <row r="1" spans="1:9" ht="24" customHeight="1" x14ac:dyDescent="0.25">
      <c r="A1" s="29" t="s">
        <v>11</v>
      </c>
      <c r="B1" s="20"/>
      <c r="C1" s="20"/>
      <c r="D1" s="20"/>
      <c r="E1" s="20"/>
      <c r="F1" s="20"/>
      <c r="G1" s="20"/>
      <c r="H1" s="20"/>
      <c r="I1" s="20"/>
    </row>
    <row r="3" spans="1:9" ht="18" customHeight="1" x14ac:dyDescent="0.2">
      <c r="A3" s="2" t="s">
        <v>1</v>
      </c>
      <c r="B3" s="10">
        <f>Inputs!B4</f>
        <v>5000</v>
      </c>
    </row>
    <row r="4" spans="1:9" ht="18" customHeight="1" x14ac:dyDescent="0.2">
      <c r="A4" s="2" t="s">
        <v>12</v>
      </c>
      <c r="B4" s="11">
        <f>Inputs!B5</f>
        <v>0.04</v>
      </c>
    </row>
    <row r="5" spans="1:9" ht="18" customHeight="1" x14ac:dyDescent="0.2">
      <c r="A5" s="2" t="s">
        <v>3</v>
      </c>
      <c r="B5" s="12">
        <f>Inputs!B6</f>
        <v>1</v>
      </c>
    </row>
    <row r="6" spans="1:9" ht="18" customHeight="1" x14ac:dyDescent="0.2">
      <c r="A6" s="2" t="s">
        <v>13</v>
      </c>
      <c r="B6" s="12">
        <f>Inputs!B7</f>
        <v>12</v>
      </c>
    </row>
    <row r="7" spans="1:9" ht="18" customHeight="1" x14ac:dyDescent="0.2">
      <c r="A7" s="2" t="s">
        <v>7</v>
      </c>
      <c r="B7" s="11">
        <f>Inputs!B10</f>
        <v>3.3333333333333335E-3</v>
      </c>
    </row>
    <row r="8" spans="1:9" ht="18" customHeight="1" x14ac:dyDescent="0.2">
      <c r="A8" s="2" t="s">
        <v>14</v>
      </c>
      <c r="B8" s="10">
        <f>Inputs!B12</f>
        <v>425.75</v>
      </c>
    </row>
    <row r="9" spans="1:9" ht="18" customHeight="1" x14ac:dyDescent="0.2">
      <c r="A9" s="2" t="s">
        <v>15</v>
      </c>
      <c r="B9" s="10">
        <f>Inputs!B9</f>
        <v>100</v>
      </c>
    </row>
    <row r="12" spans="1:9" ht="30" customHeight="1" x14ac:dyDescent="0.2">
      <c r="A12" s="13" t="s">
        <v>16</v>
      </c>
      <c r="B12" s="13" t="s">
        <v>17</v>
      </c>
      <c r="C12" s="13" t="s">
        <v>18</v>
      </c>
      <c r="D12" s="13" t="s">
        <v>14</v>
      </c>
      <c r="E12" s="13" t="s">
        <v>19</v>
      </c>
      <c r="F12" s="13" t="s">
        <v>20</v>
      </c>
      <c r="G12" s="13" t="s">
        <v>21</v>
      </c>
      <c r="H12" s="13" t="s">
        <v>22</v>
      </c>
      <c r="I12" s="13" t="s">
        <v>23</v>
      </c>
    </row>
    <row r="13" spans="1:9" ht="20" customHeight="1" x14ac:dyDescent="0.2">
      <c r="A13" s="14">
        <v>1</v>
      </c>
      <c r="B13" s="15">
        <v>43436</v>
      </c>
      <c r="C13" s="9">
        <f>Inputs!B4</f>
        <v>5000</v>
      </c>
      <c r="D13" s="9">
        <f>Inputs!B12</f>
        <v>425.75</v>
      </c>
      <c r="E13" s="16">
        <f>Inputs!B9</f>
        <v>100</v>
      </c>
      <c r="F13" s="9">
        <f t="shared" ref="F13:F24" si="0">D13+E13</f>
        <v>525.75</v>
      </c>
      <c r="G13" s="9">
        <f t="shared" ref="G13:G24" si="1">C13*$B$7</f>
        <v>16.666666666666668</v>
      </c>
      <c r="H13" s="9">
        <f t="shared" ref="H13:H24" si="2">F13-G13</f>
        <v>509.08333333333331</v>
      </c>
      <c r="I13" s="9">
        <f t="shared" ref="I13:I24" si="3">C13-H13</f>
        <v>4490.916666666667</v>
      </c>
    </row>
    <row r="14" spans="1:9" ht="20" customHeight="1" x14ac:dyDescent="0.2">
      <c r="A14" s="14">
        <v>2</v>
      </c>
      <c r="B14" s="15">
        <v>43467</v>
      </c>
      <c r="C14" s="9">
        <f t="shared" ref="C14:C24" si="4">I13</f>
        <v>4490.916666666667</v>
      </c>
      <c r="D14" s="9">
        <f>Inputs!B12</f>
        <v>425.75</v>
      </c>
      <c r="E14" s="9">
        <v>0</v>
      </c>
      <c r="F14" s="9">
        <f t="shared" si="0"/>
        <v>425.75</v>
      </c>
      <c r="G14" s="9">
        <f t="shared" si="1"/>
        <v>14.969722222222224</v>
      </c>
      <c r="H14" s="9">
        <f t="shared" si="2"/>
        <v>410.78027777777777</v>
      </c>
      <c r="I14" s="9">
        <f t="shared" si="3"/>
        <v>4080.1363888888891</v>
      </c>
    </row>
    <row r="15" spans="1:9" ht="20" customHeight="1" x14ac:dyDescent="0.2">
      <c r="A15" s="14">
        <v>3</v>
      </c>
      <c r="B15" s="15">
        <v>43498</v>
      </c>
      <c r="C15" s="9">
        <f t="shared" si="4"/>
        <v>4080.1363888888891</v>
      </c>
      <c r="D15" s="9">
        <f>Inputs!B12</f>
        <v>425.75</v>
      </c>
      <c r="E15" s="9">
        <v>0</v>
      </c>
      <c r="F15" s="9">
        <f t="shared" si="0"/>
        <v>425.75</v>
      </c>
      <c r="G15" s="9">
        <f t="shared" si="1"/>
        <v>13.600454629629631</v>
      </c>
      <c r="H15" s="9">
        <f t="shared" si="2"/>
        <v>412.14954537037039</v>
      </c>
      <c r="I15" s="9">
        <f t="shared" si="3"/>
        <v>3667.9868435185185</v>
      </c>
    </row>
    <row r="16" spans="1:9" ht="20" customHeight="1" x14ac:dyDescent="0.2">
      <c r="A16" s="14">
        <v>4</v>
      </c>
      <c r="B16" s="15">
        <v>43526</v>
      </c>
      <c r="C16" s="9">
        <f t="shared" si="4"/>
        <v>3667.9868435185185</v>
      </c>
      <c r="D16" s="9">
        <f>Inputs!B12</f>
        <v>425.75</v>
      </c>
      <c r="E16" s="9">
        <v>0</v>
      </c>
      <c r="F16" s="9">
        <f t="shared" si="0"/>
        <v>425.75</v>
      </c>
      <c r="G16" s="9">
        <f t="shared" si="1"/>
        <v>12.226622811728395</v>
      </c>
      <c r="H16" s="9">
        <f t="shared" si="2"/>
        <v>413.52337718827158</v>
      </c>
      <c r="I16" s="9">
        <f t="shared" si="3"/>
        <v>3254.4634663302468</v>
      </c>
    </row>
    <row r="17" spans="1:9" ht="20" customHeight="1" x14ac:dyDescent="0.2">
      <c r="A17" s="14">
        <v>5</v>
      </c>
      <c r="B17" s="15">
        <v>43557</v>
      </c>
      <c r="C17" s="9">
        <f t="shared" si="4"/>
        <v>3254.4634663302468</v>
      </c>
      <c r="D17" s="9">
        <f>Inputs!B12</f>
        <v>425.75</v>
      </c>
      <c r="E17" s="9">
        <v>0</v>
      </c>
      <c r="F17" s="9">
        <f t="shared" si="0"/>
        <v>425.75</v>
      </c>
      <c r="G17" s="9">
        <f t="shared" si="1"/>
        <v>10.848211554434156</v>
      </c>
      <c r="H17" s="9">
        <f t="shared" si="2"/>
        <v>414.90178844556584</v>
      </c>
      <c r="I17" s="9">
        <f t="shared" si="3"/>
        <v>2839.5616778846811</v>
      </c>
    </row>
    <row r="18" spans="1:9" ht="20" customHeight="1" x14ac:dyDescent="0.2">
      <c r="A18" s="14">
        <v>6</v>
      </c>
      <c r="B18" s="15">
        <v>43587</v>
      </c>
      <c r="C18" s="9">
        <f t="shared" si="4"/>
        <v>2839.5616778846811</v>
      </c>
      <c r="D18" s="9">
        <f>Inputs!B12</f>
        <v>425.75</v>
      </c>
      <c r="E18" s="9">
        <v>0</v>
      </c>
      <c r="F18" s="9">
        <f t="shared" si="0"/>
        <v>425.75</v>
      </c>
      <c r="G18" s="9">
        <f t="shared" si="1"/>
        <v>9.4652055929489372</v>
      </c>
      <c r="H18" s="9">
        <f t="shared" si="2"/>
        <v>416.28479440705104</v>
      </c>
      <c r="I18" s="9">
        <f t="shared" si="3"/>
        <v>2423.2768834776302</v>
      </c>
    </row>
    <row r="19" spans="1:9" ht="20" customHeight="1" x14ac:dyDescent="0.2">
      <c r="A19" s="14">
        <v>7</v>
      </c>
      <c r="B19" s="15">
        <v>43618</v>
      </c>
      <c r="C19" s="9">
        <f t="shared" si="4"/>
        <v>2423.2768834776302</v>
      </c>
      <c r="D19" s="9">
        <f>Inputs!B12</f>
        <v>425.75</v>
      </c>
      <c r="E19" s="9">
        <v>0</v>
      </c>
      <c r="F19" s="9">
        <f t="shared" si="0"/>
        <v>425.75</v>
      </c>
      <c r="G19" s="9">
        <f t="shared" si="1"/>
        <v>8.0775896115921011</v>
      </c>
      <c r="H19" s="9">
        <f t="shared" si="2"/>
        <v>417.67241038840791</v>
      </c>
      <c r="I19" s="9">
        <f t="shared" si="3"/>
        <v>2005.6044730892222</v>
      </c>
    </row>
    <row r="20" spans="1:9" ht="20" customHeight="1" x14ac:dyDescent="0.2">
      <c r="A20" s="14">
        <v>8</v>
      </c>
      <c r="B20" s="15">
        <v>43648</v>
      </c>
      <c r="C20" s="9">
        <f t="shared" si="4"/>
        <v>2005.6044730892222</v>
      </c>
      <c r="D20" s="9">
        <f>Inputs!B12</f>
        <v>425.75</v>
      </c>
      <c r="E20" s="9">
        <v>0</v>
      </c>
      <c r="F20" s="9">
        <f t="shared" si="0"/>
        <v>425.75</v>
      </c>
      <c r="G20" s="9">
        <f t="shared" si="1"/>
        <v>6.6853482436307408</v>
      </c>
      <c r="H20" s="9">
        <f t="shared" si="2"/>
        <v>419.06465175636924</v>
      </c>
      <c r="I20" s="9">
        <f t="shared" si="3"/>
        <v>1586.5398213328531</v>
      </c>
    </row>
    <row r="21" spans="1:9" ht="20" customHeight="1" x14ac:dyDescent="0.2">
      <c r="A21" s="14">
        <v>9</v>
      </c>
      <c r="B21" s="15">
        <v>43679</v>
      </c>
      <c r="C21" s="9">
        <f t="shared" si="4"/>
        <v>1586.5398213328531</v>
      </c>
      <c r="D21" s="9">
        <f>Inputs!B12</f>
        <v>425.75</v>
      </c>
      <c r="E21" s="9">
        <v>0</v>
      </c>
      <c r="F21" s="9">
        <f t="shared" si="0"/>
        <v>425.75</v>
      </c>
      <c r="G21" s="9">
        <f t="shared" si="1"/>
        <v>5.2884660711095108</v>
      </c>
      <c r="H21" s="9">
        <f t="shared" si="2"/>
        <v>420.4615339288905</v>
      </c>
      <c r="I21" s="9">
        <f t="shared" si="3"/>
        <v>1166.0782874039626</v>
      </c>
    </row>
    <row r="22" spans="1:9" ht="20" customHeight="1" x14ac:dyDescent="0.2">
      <c r="A22" s="14">
        <v>10</v>
      </c>
      <c r="B22" s="15">
        <v>43710</v>
      </c>
      <c r="C22" s="9">
        <f t="shared" si="4"/>
        <v>1166.0782874039626</v>
      </c>
      <c r="D22" s="9">
        <f>Inputs!B12</f>
        <v>425.75</v>
      </c>
      <c r="E22" s="9">
        <v>0</v>
      </c>
      <c r="F22" s="9">
        <f t="shared" si="0"/>
        <v>425.75</v>
      </c>
      <c r="G22" s="9">
        <f t="shared" si="1"/>
        <v>3.8869276246798754</v>
      </c>
      <c r="H22" s="9">
        <f t="shared" si="2"/>
        <v>421.86307237532014</v>
      </c>
      <c r="I22" s="9">
        <f t="shared" si="3"/>
        <v>744.21521502864243</v>
      </c>
    </row>
    <row r="23" spans="1:9" ht="20" customHeight="1" x14ac:dyDescent="0.2">
      <c r="A23" s="14">
        <v>11</v>
      </c>
      <c r="B23" s="15">
        <v>43740</v>
      </c>
      <c r="C23" s="9">
        <f t="shared" si="4"/>
        <v>744.21521502864243</v>
      </c>
      <c r="D23" s="9">
        <f>Inputs!B12</f>
        <v>425.75</v>
      </c>
      <c r="E23" s="9">
        <v>0</v>
      </c>
      <c r="F23" s="9">
        <f t="shared" si="0"/>
        <v>425.75</v>
      </c>
      <c r="G23" s="9">
        <f t="shared" si="1"/>
        <v>2.4807173834288081</v>
      </c>
      <c r="H23" s="9">
        <f t="shared" si="2"/>
        <v>423.26928261657122</v>
      </c>
      <c r="I23" s="9">
        <f t="shared" si="3"/>
        <v>320.94593241207122</v>
      </c>
    </row>
    <row r="24" spans="1:9" ht="20" customHeight="1" x14ac:dyDescent="0.2">
      <c r="A24" s="14">
        <v>12</v>
      </c>
      <c r="B24" s="15">
        <v>43771</v>
      </c>
      <c r="C24" s="9">
        <f t="shared" si="4"/>
        <v>320.94593241207122</v>
      </c>
      <c r="D24" s="9">
        <f>Inputs!B12</f>
        <v>425.75</v>
      </c>
      <c r="E24" s="9">
        <v>0</v>
      </c>
      <c r="F24" s="9">
        <f t="shared" si="0"/>
        <v>425.75</v>
      </c>
      <c r="G24" s="9">
        <f t="shared" si="1"/>
        <v>1.069819774706904</v>
      </c>
      <c r="H24" s="9">
        <f t="shared" si="2"/>
        <v>424.6801802252931</v>
      </c>
      <c r="I24" s="9">
        <f t="shared" si="3"/>
        <v>-103.73424781322188</v>
      </c>
    </row>
    <row r="27" spans="1:9" x14ac:dyDescent="0.2">
      <c r="A27" s="31" t="s">
        <v>24</v>
      </c>
      <c r="B27" s="20"/>
      <c r="C27" s="20"/>
    </row>
    <row r="28" spans="1:9" ht="20" customHeight="1" x14ac:dyDescent="0.2">
      <c r="A28" s="2" t="s">
        <v>25</v>
      </c>
      <c r="B28" s="9">
        <f>SUM(D13:D24)</f>
        <v>5109</v>
      </c>
    </row>
    <row r="29" spans="1:9" ht="20" customHeight="1" x14ac:dyDescent="0.2">
      <c r="A29" s="2" t="s">
        <v>26</v>
      </c>
      <c r="B29" s="9">
        <f>SUM(E13:E24)</f>
        <v>100</v>
      </c>
    </row>
    <row r="30" spans="1:9" ht="20" customHeight="1" x14ac:dyDescent="0.2">
      <c r="A30" s="2" t="s">
        <v>27</v>
      </c>
      <c r="B30" s="17">
        <f>SUM(G13:G24)</f>
        <v>105.26575218677795</v>
      </c>
    </row>
    <row r="31" spans="1:9" ht="20" customHeight="1" x14ac:dyDescent="0.2">
      <c r="A31" s="2" t="s">
        <v>28</v>
      </c>
      <c r="B31" s="9">
        <f>I24</f>
        <v>-103.73424781322188</v>
      </c>
    </row>
    <row r="32" spans="1:9" ht="20" customHeight="1" x14ac:dyDescent="0.2">
      <c r="A32" s="2" t="s">
        <v>29</v>
      </c>
      <c r="B32" s="17">
        <f>I24</f>
        <v>-103.73424781322188</v>
      </c>
    </row>
    <row r="33" spans="1:9" ht="20" customHeight="1" x14ac:dyDescent="0.2"/>
    <row r="34" spans="1:9" ht="36" customHeight="1" x14ac:dyDescent="0.2">
      <c r="A34" s="2" t="s">
        <v>30</v>
      </c>
      <c r="B34" s="30" t="s">
        <v>31</v>
      </c>
      <c r="C34" s="20"/>
      <c r="D34" s="20"/>
      <c r="E34" s="20"/>
      <c r="F34" s="20"/>
      <c r="G34" s="20"/>
      <c r="H34" s="20"/>
      <c r="I34" s="20"/>
    </row>
    <row r="35" spans="1:9" ht="36" customHeight="1" x14ac:dyDescent="0.2">
      <c r="B35" s="20"/>
      <c r="C35" s="20"/>
      <c r="D35" s="20"/>
      <c r="E35" s="20"/>
      <c r="F35" s="20"/>
      <c r="G35" s="20"/>
      <c r="H35" s="20"/>
      <c r="I35" s="20"/>
    </row>
  </sheetData>
  <mergeCells count="3">
    <mergeCell ref="A1:I1"/>
    <mergeCell ref="B34:I35"/>
    <mergeCell ref="A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Amortization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Tiwari</cp:lastModifiedBy>
  <dcterms:modified xsi:type="dcterms:W3CDTF">2026-04-07T08:26:26Z</dcterms:modified>
</cp:coreProperties>
</file>